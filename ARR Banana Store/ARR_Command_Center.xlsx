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Daily Sales" sheetId="4" state="visible" r:id="rId4"/>
    <sheet xmlns:r="http://schemas.openxmlformats.org/officeDocument/2006/relationships" name="Deliverie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Stock Count" sheetId="7" state="visible" r:id="rId7"/>
    <sheet xmlns:r="http://schemas.openxmlformats.org/officeDocument/2006/relationships" name="His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₱&quot;#,##0;(&quot;₱&quot;#,##0);&quot;-&quot;"/>
    <numFmt numFmtId="165" formatCode="0.0%;(0.0%);&quot;-&quot;"/>
    <numFmt numFmtId="166" formatCode="yyyy-mm-dd h:mm:ss"/>
    <numFmt numFmtId="167" formatCode="d mmm yyyy"/>
    <numFmt numFmtId="168" formatCode="0.0"/>
    <numFmt numFmtId="169" formatCode="#,##0.0"/>
    <numFmt numFmtId="170" formatCode="mmm yyyy"/>
    <numFmt numFmtId="171" formatCode="mmm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</font>
    <font>
      <name val="Arial"/>
      <color rgb="000000FF"/>
    </font>
    <font>
      <name val="Arial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4D03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70" fontId="4" fillId="3" borderId="0" pivotButton="0" quotePrefix="0" xfId="0"/>
    <xf numFmtId="0" fontId="3" fillId="2" borderId="0" pivotButton="0" quotePrefix="0" xfId="0"/>
    <xf numFmtId="164" fontId="6" fillId="0" borderId="0" pivotButton="0" quotePrefix="0" xfId="0"/>
    <xf numFmtId="164" fontId="3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3" fontId="6" fillId="0" borderId="0" pivotButton="0" quotePrefix="0" xfId="0"/>
    <xf numFmtId="0" fontId="6" fillId="0" borderId="0" applyAlignment="1" pivotButton="0" quotePrefix="0" xfId="0">
      <alignment wrapText="1"/>
    </xf>
    <xf numFmtId="171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3" fillId="2" borderId="0" applyAlignment="1" pivotButton="0" quotePrefix="0" xfId="0">
      <alignment vertical="center" wrapText="1"/>
    </xf>
    <xf numFmtId="167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17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5B7B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ARR</author>
  </authors>
  <commentList>
    <comment ref="F5" authorId="0" shapeId="0">
      <text>
        <t>Source: user-provided assumption, 6 Oct 2026. Change as needed.</t>
      </text>
    </comment>
    <comment ref="F6" authorId="0" shapeId="0">
      <text>
        <t>Source: user-provided assumption, 6 Oct 2026. Recent spoilage ran about 4.6% of purchases.</t>
      </text>
    </comment>
  </commentList>
</comments>
</file>

<file path=xl/comments/comment2.xml><?xml version="1.0" encoding="utf-8"?>
<comments xmlns="http://schemas.openxmlformats.org/spreadsheetml/2006/main">
  <authors>
    <author>ARR</author>
  </authors>
  <commentList>
    <comment ref="A5" authorId="0" shapeId="0">
      <text>
        <t>Source: Monthly Records Report - 24/25/26, tab "October - Dailies26", rows 1-6 Oct 2026, read 6 Oct 2026. Wholesale was assigned to Main. Spoilage and kg columns were not in that tab.</t>
      </text>
    </comment>
  </commentList>
</comments>
</file>

<file path=xl/comments/comment3.xml><?xml version="1.0" encoding="utf-8"?>
<comments xmlns="http://schemas.openxmlformats.org/spreadsheetml/2006/main">
  <authors>
    <author>ARR</author>
  </authors>
  <commentList>
    <comment ref="E5" authorId="0" shapeId="0">
      <text>
        <t>Source: Monthly Records Report - 24/25/26, tab "DASHBOARD", Inventory Purchase for Oct 2026, read 6 Oct 2026.</t>
      </text>
    </comment>
  </commentList>
</comments>
</file>

<file path=xl/comments/comment4.xml><?xml version="1.0" encoding="utf-8"?>
<comments xmlns="http://schemas.openxmlformats.org/spreadsheetml/2006/main">
  <authors>
    <author>ARR</author>
  </authors>
  <commentList>
    <comment ref="A5" authorId="0" shapeId="0">
      <text>
        <t>Source: [Main] and [Branch1] ARR BANANA Monthly-Expenses - 2026, tab "OCT", category totals for 1-6 Oct 2026, read 6 Oct 2026.</t>
      </text>
    </comment>
  </commentList>
</comments>
</file>

<file path=xl/comments/comment5.xml><?xml version="1.0" encoding="utf-8"?>
<comments xmlns="http://schemas.openxmlformats.org/spreadsheetml/2006/main">
  <authors>
    <author>ARR</author>
  </authors>
  <commentList>
    <comment ref="A4" authorId="0" shapeId="0">
      <text>
        <t>Source: Monthly Records Report - 24/25/26, tab "DASHBOARD", columns Sales, Inventory Purchase, Expenses, Sep 2024 to Sep 2026, read 6 Oct 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ARR Banana Store dashboard</t>
        </is>
      </c>
      <c r="B1" s="2" t="n"/>
      <c r="C1" s="2" t="n"/>
      <c r="D1" s="2" t="n"/>
    </row>
    <row r="2">
      <c r="A2" s="3" t="inlineStr">
        <is>
          <t>Change the month in the yellow cell. Everything else is calculated from the input tabs.</t>
        </is>
      </c>
      <c r="B2" s="2" t="n"/>
      <c r="C2" s="2" t="n"/>
      <c r="D2" s="2" t="n"/>
    </row>
    <row r="3">
      <c r="A3" s="4" t="inlineStr">
        <is>
          <t>Month</t>
        </is>
      </c>
      <c r="B3" s="5" t="n">
        <v>46296</v>
      </c>
      <c r="C3" s="2" t="n"/>
      <c r="D3" s="2" t="n"/>
    </row>
    <row r="4">
      <c r="A4" s="2" t="n"/>
      <c r="B4" s="2" t="n"/>
      <c r="C4" s="2" t="n"/>
      <c r="D4" s="2" t="n"/>
    </row>
    <row r="5">
      <c r="A5" s="6" t="inlineStr">
        <is>
          <t>Sales</t>
        </is>
      </c>
      <c r="B5" s="6" t="inlineStr">
        <is>
          <t>Main</t>
        </is>
      </c>
      <c r="C5" s="6" t="inlineStr">
        <is>
          <t>Rizal</t>
        </is>
      </c>
      <c r="D5" s="6" t="inlineStr">
        <is>
          <t>Total</t>
        </is>
      </c>
    </row>
    <row r="6">
      <c r="A6" s="2" t="inlineStr">
        <is>
          <t>Retail sales</t>
        </is>
      </c>
      <c r="B6" s="7">
        <f>SUMIFS('Daily Sales'!$C:$C,'Daily Sales'!$B:$B,B$5,'Daily Sales'!$A:$A,"&gt;="&amp;$B$3,'Daily Sales'!$A:$A,"&lt;"&amp;EDATE($B$3,1))</f>
        <v/>
      </c>
      <c r="C6" s="7">
        <f>SUMIFS('Daily Sales'!$C:$C,'Daily Sales'!$B:$B,C$5,'Daily Sales'!$A:$A,"&gt;="&amp;$B$3,'Daily Sales'!$A:$A,"&lt;"&amp;EDATE($B$3,1))</f>
        <v/>
      </c>
      <c r="D6" s="7">
        <f>SUM(B6:C6)</f>
        <v/>
      </c>
    </row>
    <row r="7">
      <c r="A7" s="2" t="inlineStr">
        <is>
          <t>Wholesale sales</t>
        </is>
      </c>
      <c r="B7" s="7">
        <f>SUMIFS('Daily Sales'!$D:$D,'Daily Sales'!$B:$B,B$5,'Daily Sales'!$A:$A,"&gt;="&amp;$B$3,'Daily Sales'!$A:$A,"&lt;"&amp;EDATE($B$3,1))</f>
        <v/>
      </c>
      <c r="C7" s="7">
        <f>SUMIFS('Daily Sales'!$D:$D,'Daily Sales'!$B:$B,C$5,'Daily Sales'!$A:$A,"&gt;="&amp;$B$3,'Daily Sales'!$A:$A,"&lt;"&amp;EDATE($B$3,1))</f>
        <v/>
      </c>
      <c r="D7" s="7">
        <f>SUM(B7:C7)</f>
        <v/>
      </c>
    </row>
    <row r="8">
      <c r="A8" s="4" t="inlineStr">
        <is>
          <t>Total sales</t>
        </is>
      </c>
      <c r="B8" s="8">
        <f>B6+B7</f>
        <v/>
      </c>
      <c r="C8" s="8">
        <f>C6+C7</f>
        <v/>
      </c>
      <c r="D8" s="8">
        <f>SUM(B8:C8)</f>
        <v/>
      </c>
    </row>
    <row r="9">
      <c r="A9" s="2" t="inlineStr">
        <is>
          <t>Spoilage at cost</t>
        </is>
      </c>
      <c r="B9" s="7">
        <f>SUMIFS('Daily Sales'!$F:$F,'Daily Sales'!$B:$B,B$5,'Daily Sales'!$A:$A,"&gt;="&amp;$B$3,'Daily Sales'!$A:$A,"&lt;"&amp;EDATE($B$3,1))</f>
        <v/>
      </c>
      <c r="C9" s="7">
        <f>SUMIFS('Daily Sales'!$F:$F,'Daily Sales'!$B:$B,C$5,'Daily Sales'!$A:$A,"&gt;="&amp;$B$3,'Daily Sales'!$A:$A,"&lt;"&amp;EDATE($B$3,1))</f>
        <v/>
      </c>
      <c r="D9" s="7">
        <f>SUM(B9:C9)</f>
        <v/>
      </c>
    </row>
    <row r="10">
      <c r="A10" s="2" t="inlineStr">
        <is>
          <t>Spoilage, % of sales</t>
        </is>
      </c>
      <c r="B10" s="9">
        <f>IF(B8=0,0,B9/B8)</f>
        <v/>
      </c>
      <c r="C10" s="9">
        <f>IF(C8=0,0,C9/C8)</f>
        <v/>
      </c>
      <c r="D10" s="9">
        <f>IF(D8=0,0,D9/D8)</f>
        <v/>
      </c>
    </row>
    <row r="11">
      <c r="A11" s="2" t="inlineStr">
        <is>
          <t>Cash short (-) / over (+)</t>
        </is>
      </c>
      <c r="B11" s="7">
        <f>SUMIFS('Daily Sales'!$E:$E,'Daily Sales'!$B:$B,B$5,'Daily Sales'!$A:$A,"&gt;="&amp;$B$3,'Daily Sales'!$A:$A,"&lt;"&amp;EDATE($B$3,1))</f>
        <v/>
      </c>
      <c r="C11" s="7">
        <f>SUMIFS('Daily Sales'!$E:$E,'Daily Sales'!$B:$B,C$5,'Daily Sales'!$A:$A,"&gt;="&amp;$B$3,'Daily Sales'!$A:$A,"&lt;"&amp;EDATE($B$3,1))</f>
        <v/>
      </c>
      <c r="D11" s="7">
        <f>SUM(B11:C11)</f>
        <v/>
      </c>
    </row>
    <row r="12">
      <c r="A12" s="2" t="inlineStr">
        <is>
          <t>Days reported</t>
        </is>
      </c>
      <c r="B12" s="10">
        <f>COUNTIFS('Daily Sales'!$B:$B,B$5,'Daily Sales'!$A:$A,"&gt;="&amp;$B$3,'Daily Sales'!$A:$A,"&lt;"&amp;EDATE($B$3,1))</f>
        <v/>
      </c>
      <c r="C12" s="10">
        <f>COUNTIFS('Daily Sales'!$B:$B,C$5,'Daily Sales'!$A:$A,"&gt;="&amp;$B$3,'Daily Sales'!$A:$A,"&lt;"&amp;EDATE($B$3,1))</f>
        <v/>
      </c>
      <c r="D12" s="2" t="n"/>
    </row>
    <row r="13">
      <c r="A13" s="2" t="n"/>
      <c r="B13" s="2" t="n"/>
      <c r="C13" s="2" t="n"/>
      <c r="D13" s="2" t="n"/>
    </row>
    <row r="14">
      <c r="A14" s="6" t="inlineStr">
        <is>
          <t>Cost of fruit (whole business)</t>
        </is>
      </c>
      <c r="B14" s="6" t="n"/>
      <c r="C14" s="6" t="n"/>
      <c r="D14" s="6" t="inlineStr">
        <is>
          <t>Total</t>
        </is>
      </c>
    </row>
    <row r="15">
      <c r="A15" s="2" t="inlineStr">
        <is>
          <t>Fruit purchases</t>
        </is>
      </c>
      <c r="B15" s="2" t="n"/>
      <c r="C15" s="2" t="n"/>
      <c r="D15" s="7">
        <f>SUMIFS(Deliveries!$E:$E,'Deliveries'!$A:$A,"&gt;="&amp;$B$3,'Deliveries'!$A:$A,"&lt;"&amp;EDATE($B$3,1))</f>
        <v/>
      </c>
    </row>
    <row r="16">
      <c r="A16" s="2" t="inlineStr">
        <is>
          <t>Trucking &amp; labor</t>
        </is>
      </c>
      <c r="B16" s="2" t="n"/>
      <c r="C16" s="2" t="n"/>
      <c r="D16" s="7">
        <f>SUMIFS(Expenses!$E:$E,Expenses!$C:$C,"Trucking &amp; Labor",'Expenses'!$A:$A,"&gt;="&amp;$B$3,'Expenses'!$A:$A,"&lt;"&amp;EDATE($B$3,1))</f>
        <v/>
      </c>
    </row>
    <row r="17">
      <c r="A17" s="2" t="inlineStr">
        <is>
          <t>Stock at start of month</t>
        </is>
      </c>
      <c r="B17" s="2" t="n"/>
      <c r="C17" s="2" t="n"/>
      <c r="D17" s="7">
        <f>SUMPRODUCT(('Stock Count'!$A$5:$A$5000=EDATE($B$3,-1))*'Stock Count'!$D$5:$D$5000*'Stock Count'!$E$5:$E$5000)</f>
        <v/>
      </c>
    </row>
    <row r="18">
      <c r="A18" s="2" t="inlineStr">
        <is>
          <t>Stock at end of month</t>
        </is>
      </c>
      <c r="B18" s="2" t="n"/>
      <c r="C18" s="2" t="n"/>
      <c r="D18" s="7">
        <f>SUMPRODUCT(('Stock Count'!$A$5:$A$5000=$B$3)*'Stock Count'!$D$5:$D$5000*'Stock Count'!$E$5:$E$5000)</f>
        <v/>
      </c>
    </row>
    <row r="19">
      <c r="A19" s="4" t="inlineStr">
        <is>
          <t>Cost of fruit sold</t>
        </is>
      </c>
      <c r="B19" s="4" t="n"/>
      <c r="C19" s="4" t="n"/>
      <c r="D19" s="8">
        <f>D15+D16+D17-D18</f>
        <v/>
      </c>
    </row>
    <row r="20">
      <c r="A20" s="2" t="inlineStr">
        <is>
          <t>Gross margin, %</t>
        </is>
      </c>
      <c r="B20" s="2" t="n"/>
      <c r="C20" s="2" t="n"/>
      <c r="D20" s="9">
        <f>IF(D8=0,0,(D8-D19)/D8)</f>
        <v/>
      </c>
    </row>
    <row r="21">
      <c r="A21" s="2" t="inlineStr">
        <is>
          <t>Kg delivered (rows with kg filled in)</t>
        </is>
      </c>
      <c r="B21" s="2" t="n"/>
      <c r="C21" s="2" t="n"/>
      <c r="D21" s="11">
        <f>SUMIFS(Deliveries!$D:$D,'Deliveries'!$A:$A,"&gt;="&amp;$B$3,'Deliveries'!$A:$A,"&lt;"&amp;EDATE($B$3,1))</f>
        <v/>
      </c>
    </row>
    <row r="22">
      <c r="A22" s="6" t="inlineStr">
        <is>
          <t>Profit</t>
        </is>
      </c>
      <c r="B22" s="6" t="inlineStr">
        <is>
          <t>Main</t>
        </is>
      </c>
      <c r="C22" s="6" t="inlineStr">
        <is>
          <t>Rizal</t>
        </is>
      </c>
      <c r="D22" s="6" t="inlineStr">
        <is>
          <t>Total</t>
        </is>
      </c>
    </row>
    <row r="23">
      <c r="A23" s="2" t="inlineStr">
        <is>
          <t>Gross profit (branch split by share of sales)</t>
        </is>
      </c>
      <c r="B23" s="7">
        <f>B8*$D$20</f>
        <v/>
      </c>
      <c r="C23" s="7">
        <f>C8*$D$20</f>
        <v/>
      </c>
      <c r="D23" s="7">
        <f>D8-D19</f>
        <v/>
      </c>
    </row>
    <row r="24">
      <c r="A24" s="2" t="inlineStr">
        <is>
          <t>Operating expenses</t>
        </is>
      </c>
      <c r="B24" s="7">
        <f>SUMIFS(Expenses!$E:$E,Expenses!$B:$B,B$22,'Expenses'!$A:$A,"&gt;="&amp;$B$3,'Expenses'!$A:$A,"&lt;"&amp;EDATE($B$3,1))-SUMIFS(Expenses!$E:$E,Expenses!$B:$B,B$22,Expenses!$C:$C,"Trucking &amp; Labor",'Expenses'!$A:$A,"&gt;="&amp;$B$3,'Expenses'!$A:$A,"&lt;"&amp;EDATE($B$3,1))</f>
        <v/>
      </c>
      <c r="C24" s="7">
        <f>SUMIFS(Expenses!$E:$E,Expenses!$B:$B,C$22,'Expenses'!$A:$A,"&gt;="&amp;$B$3,'Expenses'!$A:$A,"&lt;"&amp;EDATE($B$3,1))-SUMIFS(Expenses!$E:$E,Expenses!$B:$B,C$22,Expenses!$C:$C,"Trucking &amp; Labor",'Expenses'!$A:$A,"&gt;="&amp;$B$3,'Expenses'!$A:$A,"&lt;"&amp;EDATE($B$3,1))</f>
        <v/>
      </c>
      <c r="D24" s="7">
        <f>SUM(B24:C24)</f>
        <v/>
      </c>
    </row>
    <row r="25">
      <c r="A25" s="2" t="inlineStr">
        <is>
          <t xml:space="preserve">   of which staff (salary + cash advances)</t>
        </is>
      </c>
      <c r="B25" s="7">
        <f>SUMIFS(Expenses!$E:$E,Expenses!$B:$B,B$22,Expenses!$C:$C,"Salary (net paid)",'Expenses'!$A:$A,"&gt;="&amp;$B$3,'Expenses'!$A:$A,"&lt;"&amp;EDATE($B$3,1))+SUMIFS(Expenses!$E:$E,Expenses!$B:$B,B$22,Expenses!$C:$C,"Cash Advance",'Expenses'!$A:$A,"&gt;="&amp;$B$3,'Expenses'!$A:$A,"&lt;"&amp;EDATE($B$3,1))</f>
        <v/>
      </c>
      <c r="C25" s="7">
        <f>SUMIFS(Expenses!$E:$E,Expenses!$B:$B,C$22,Expenses!$C:$C,"Salary (net paid)",'Expenses'!$A:$A,"&gt;="&amp;$B$3,'Expenses'!$A:$A,"&lt;"&amp;EDATE($B$3,1))+SUMIFS(Expenses!$E:$E,Expenses!$B:$B,C$22,Expenses!$C:$C,"Cash Advance",'Expenses'!$A:$A,"&gt;="&amp;$B$3,'Expenses'!$A:$A,"&lt;"&amp;EDATE($B$3,1))</f>
        <v/>
      </c>
      <c r="D25" s="7">
        <f>SUM(B25:C25)</f>
        <v/>
      </c>
    </row>
    <row r="26">
      <c r="A26" s="4" t="inlineStr">
        <is>
          <t>Net profit</t>
        </is>
      </c>
      <c r="B26" s="8">
        <f>B23-B24</f>
        <v/>
      </c>
      <c r="C26" s="8">
        <f>C23-C24</f>
        <v/>
      </c>
      <c r="D26" s="8">
        <f>D23-D24</f>
        <v/>
      </c>
    </row>
    <row r="27">
      <c r="A27" s="2" t="inlineStr">
        <is>
          <t>Net margin, %</t>
        </is>
      </c>
      <c r="B27" s="9">
        <f>IF(B8=0,0,B26/B8)</f>
        <v/>
      </c>
      <c r="C27" s="9">
        <f>IF(C8=0,0,C26/C8)</f>
        <v/>
      </c>
      <c r="D27" s="9">
        <f>IF(D8=0,0,D26/D8)</f>
        <v/>
      </c>
    </row>
    <row r="28">
      <c r="A28" s="2" t="n"/>
      <c r="B28" s="2" t="n"/>
      <c r="C28" s="2" t="n"/>
      <c r="D28" s="2" t="n"/>
    </row>
    <row r="29">
      <c r="A29" s="6" t="inlineStr">
        <is>
          <t>Alerts</t>
        </is>
      </c>
      <c r="B29" s="6" t="inlineStr">
        <is>
          <t>Main</t>
        </is>
      </c>
      <c r="C29" s="6" t="inlineStr">
        <is>
          <t>Rizal</t>
        </is>
      </c>
      <c r="D29" s="2" t="n"/>
    </row>
    <row r="30">
      <c r="A30" s="2" t="inlineStr">
        <is>
          <t>Days missing a report (so far this month)</t>
        </is>
      </c>
      <c r="B30" s="2">
        <f>MAX(0,$B$35-B12)</f>
        <v/>
      </c>
      <c r="C30" s="2">
        <f>MAX(0,$B$35-C12)</f>
        <v/>
      </c>
      <c r="D30" s="2" t="n"/>
    </row>
    <row r="31">
      <c r="A31" s="2" t="inlineStr">
        <is>
          <t>Days cash was short by more than the limit</t>
        </is>
      </c>
      <c r="B31" s="2">
        <f>COUNTIFS('Daily Sales'!$B:$B,B$29,'Daily Sales'!$A:$A,"&gt;="&amp;$B$3,'Daily Sales'!$A:$A,"&lt;"&amp;EDATE($B$3,1),'Daily Sales'!$E:$E,"&lt;"&amp;-Settings!$F$5)</f>
        <v/>
      </c>
      <c r="C31" s="2">
        <f>COUNTIFS('Daily Sales'!$B:$B,C$29,'Daily Sales'!$A:$A,"&gt;="&amp;$B$3,'Daily Sales'!$A:$A,"&lt;"&amp;EDATE($B$3,1),'Daily Sales'!$E:$E,"&lt;"&amp;-Settings!$F$5)</f>
        <v/>
      </c>
      <c r="D31" s="2" t="n"/>
    </row>
    <row r="32">
      <c r="A32" s="2" t="inlineStr">
        <is>
          <t>Spoilage above the limit</t>
        </is>
      </c>
      <c r="B32" s="2">
        <f>IF(B10&gt;Settings!$F$6,"CHECK","OK")</f>
        <v/>
      </c>
      <c r="C32" s="2">
        <f>IF(C10&gt;Settings!$F$6,"CHECK","OK")</f>
        <v/>
      </c>
      <c r="D32" s="2" t="n"/>
    </row>
    <row r="33">
      <c r="A33" s="2" t="inlineStr">
        <is>
          <t>Stock count for this month entered</t>
        </is>
      </c>
      <c r="B33" s="2">
        <f>IF(COUNTIFS('Stock Count'!$A:$A,$B$3)&gt;0,"Yes","No: until counted, profit treats all fruit bought this month as sold")</f>
        <v/>
      </c>
      <c r="C33" s="2" t="n"/>
      <c r="D33" s="2" t="n"/>
    </row>
    <row r="34">
      <c r="A34" s="2" t="n"/>
      <c r="B34" s="2" t="n"/>
      <c r="C34" s="2" t="n"/>
      <c r="D34" s="2" t="n"/>
    </row>
    <row r="35">
      <c r="A35" s="2" t="inlineStr">
        <is>
          <t>Days so far this month</t>
        </is>
      </c>
      <c r="B35" s="2">
        <f>MAX(0,MIN(TODAY(),EOMONTH($B$3,0))-$B$3+1)</f>
        <v/>
      </c>
      <c r="C35" s="2" t="n"/>
      <c r="D35" s="2" t="n"/>
    </row>
    <row r="36">
      <c r="A36" s="2" t="n"/>
      <c r="B36" s="2" t="n"/>
      <c r="C36" s="2" t="n"/>
      <c r="D36" s="2" t="n"/>
    </row>
    <row r="37" ht="30" customHeight="1">
      <c r="A37" s="12" t="inlineStr">
        <is>
          <t>How profit is worked out: cost of fruit sold = purchases + trucking + stock at start - stock at end. Branch gross profit is estimated by each branch's share of sales, because deliveries are shared.</t>
        </is>
      </c>
      <c r="B37" s="2" t="n"/>
      <c r="C37" s="2" t="n"/>
      <c r="D37" s="2" t="n"/>
    </row>
    <row r="38">
      <c r="A38" s="2" t="n"/>
      <c r="B38" s="2" t="n"/>
      <c r="C38" s="2" t="n"/>
      <c r="D38" s="2" t="n"/>
    </row>
  </sheetData>
  <mergeCells count="1">
    <mergeCell ref="A37:D38"/>
  </mergeCells>
  <conditionalFormatting sqref="B30:C31">
    <cfRule type="expression" priority="1" dxfId="0">
      <formula>B30&gt;0</formula>
    </cfRule>
  </conditionalFormatting>
  <conditionalFormatting sqref="B32:C32">
    <cfRule type="expression" priority="2" dxfId="0">
      <formula>B32="CHECK"</formula>
    </cfRule>
  </conditionalFormatting>
  <conditionalFormatting sqref="B33">
    <cfRule type="expression" priority="3" dxfId="0">
      <formula>LEFT(B33,2)="No"</formula>
    </cfRule>
  </conditionalFormatting>
  <conditionalFormatting sqref="B26:D26">
    <cfRule type="expression" priority="4" dxfId="0">
      <formula>B26&lt;0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Monthly trend,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Calculated from the input tabs. Months before October 2026 are on the History tab.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Month</t>
        </is>
      </c>
      <c r="B4" s="13" t="n">
        <v>46023</v>
      </c>
      <c r="C4" s="13" t="n">
        <v>46054</v>
      </c>
      <c r="D4" s="13" t="n">
        <v>46082</v>
      </c>
      <c r="E4" s="13" t="n">
        <v>46113</v>
      </c>
      <c r="F4" s="13" t="n">
        <v>46143</v>
      </c>
      <c r="G4" s="13" t="n">
        <v>46174</v>
      </c>
      <c r="H4" s="13" t="n">
        <v>46204</v>
      </c>
      <c r="I4" s="13" t="n">
        <v>46235</v>
      </c>
      <c r="J4" s="13" t="n">
        <v>46266</v>
      </c>
      <c r="K4" s="13" t="n">
        <v>46296</v>
      </c>
      <c r="L4" s="13" t="n">
        <v>46327</v>
      </c>
      <c r="M4" s="13" t="n">
        <v>46357</v>
      </c>
    </row>
    <row r="5">
      <c r="A5" s="2" t="inlineStr">
        <is>
          <t>Total sales</t>
        </is>
      </c>
      <c r="B5" s="7">
        <f>SUMIFS('Daily Sales'!$C:$C,'Daily Sales'!$A:$A,"&gt;="&amp;B$4,'Daily Sales'!$A:$A,"&lt;"&amp;EDATE(B$4,1))+SUMIFS('Daily Sales'!$D:$D,'Daily Sales'!$A:$A,"&gt;="&amp;B$4,'Daily Sales'!$A:$A,"&lt;"&amp;EDATE(B$4,1))</f>
        <v/>
      </c>
      <c r="C5" s="7">
        <f>SUMIFS('Daily Sales'!$C:$C,'Daily Sales'!$A:$A,"&gt;="&amp;C$4,'Daily Sales'!$A:$A,"&lt;"&amp;EDATE(C$4,1))+SUMIFS('Daily Sales'!$D:$D,'Daily Sales'!$A:$A,"&gt;="&amp;C$4,'Daily Sales'!$A:$A,"&lt;"&amp;EDATE(C$4,1))</f>
        <v/>
      </c>
      <c r="D5" s="7">
        <f>SUMIFS('Daily Sales'!$C:$C,'Daily Sales'!$A:$A,"&gt;="&amp;D$4,'Daily Sales'!$A:$A,"&lt;"&amp;EDATE(D$4,1))+SUMIFS('Daily Sales'!$D:$D,'Daily Sales'!$A:$A,"&gt;="&amp;D$4,'Daily Sales'!$A:$A,"&lt;"&amp;EDATE(D$4,1))</f>
        <v/>
      </c>
      <c r="E5" s="7">
        <f>SUMIFS('Daily Sales'!$C:$C,'Daily Sales'!$A:$A,"&gt;="&amp;E$4,'Daily Sales'!$A:$A,"&lt;"&amp;EDATE(E$4,1))+SUMIFS('Daily Sales'!$D:$D,'Daily Sales'!$A:$A,"&gt;="&amp;E$4,'Daily Sales'!$A:$A,"&lt;"&amp;EDATE(E$4,1))</f>
        <v/>
      </c>
      <c r="F5" s="7">
        <f>SUMIFS('Daily Sales'!$C:$C,'Daily Sales'!$A:$A,"&gt;="&amp;F$4,'Daily Sales'!$A:$A,"&lt;"&amp;EDATE(F$4,1))+SUMIFS('Daily Sales'!$D:$D,'Daily Sales'!$A:$A,"&gt;="&amp;F$4,'Daily Sales'!$A:$A,"&lt;"&amp;EDATE(F$4,1))</f>
        <v/>
      </c>
      <c r="G5" s="7">
        <f>SUMIFS('Daily Sales'!$C:$C,'Daily Sales'!$A:$A,"&gt;="&amp;G$4,'Daily Sales'!$A:$A,"&lt;"&amp;EDATE(G$4,1))+SUMIFS('Daily Sales'!$D:$D,'Daily Sales'!$A:$A,"&gt;="&amp;G$4,'Daily Sales'!$A:$A,"&lt;"&amp;EDATE(G$4,1))</f>
        <v/>
      </c>
      <c r="H5" s="7">
        <f>SUMIFS('Daily Sales'!$C:$C,'Daily Sales'!$A:$A,"&gt;="&amp;H$4,'Daily Sales'!$A:$A,"&lt;"&amp;EDATE(H$4,1))+SUMIFS('Daily Sales'!$D:$D,'Daily Sales'!$A:$A,"&gt;="&amp;H$4,'Daily Sales'!$A:$A,"&lt;"&amp;EDATE(H$4,1))</f>
        <v/>
      </c>
      <c r="I5" s="7">
        <f>SUMIFS('Daily Sales'!$C:$C,'Daily Sales'!$A:$A,"&gt;="&amp;I$4,'Daily Sales'!$A:$A,"&lt;"&amp;EDATE(I$4,1))+SUMIFS('Daily Sales'!$D:$D,'Daily Sales'!$A:$A,"&gt;="&amp;I$4,'Daily Sales'!$A:$A,"&lt;"&amp;EDATE(I$4,1))</f>
        <v/>
      </c>
      <c r="J5" s="7">
        <f>SUMIFS('Daily Sales'!$C:$C,'Daily Sales'!$A:$A,"&gt;="&amp;J$4,'Daily Sales'!$A:$A,"&lt;"&amp;EDATE(J$4,1))+SUMIFS('Daily Sales'!$D:$D,'Daily Sales'!$A:$A,"&gt;="&amp;J$4,'Daily Sales'!$A:$A,"&lt;"&amp;EDATE(J$4,1))</f>
        <v/>
      </c>
      <c r="K5" s="7">
        <f>SUMIFS('Daily Sales'!$C:$C,'Daily Sales'!$A:$A,"&gt;="&amp;K$4,'Daily Sales'!$A:$A,"&lt;"&amp;EDATE(K$4,1))+SUMIFS('Daily Sales'!$D:$D,'Daily Sales'!$A:$A,"&gt;="&amp;K$4,'Daily Sales'!$A:$A,"&lt;"&amp;EDATE(K$4,1))</f>
        <v/>
      </c>
      <c r="L5" s="7">
        <f>SUMIFS('Daily Sales'!$C:$C,'Daily Sales'!$A:$A,"&gt;="&amp;L$4,'Daily Sales'!$A:$A,"&lt;"&amp;EDATE(L$4,1))+SUMIFS('Daily Sales'!$D:$D,'Daily Sales'!$A:$A,"&gt;="&amp;L$4,'Daily Sales'!$A:$A,"&lt;"&amp;EDATE(L$4,1))</f>
        <v/>
      </c>
      <c r="M5" s="7">
        <f>SUMIFS('Daily Sales'!$C:$C,'Daily Sales'!$A:$A,"&gt;="&amp;M$4,'Daily Sales'!$A:$A,"&lt;"&amp;EDATE(M$4,1))+SUMIFS('Daily Sales'!$D:$D,'Daily Sales'!$A:$A,"&gt;="&amp;M$4,'Daily Sales'!$A:$A,"&lt;"&amp;EDATE(M$4,1))</f>
        <v/>
      </c>
    </row>
    <row r="6">
      <c r="A6" s="2" t="inlineStr">
        <is>
          <t>Cost of fruit sold</t>
        </is>
      </c>
      <c r="B6" s="7">
        <f>SUMIFS(Deliveries!$E:$E,'Deliveries'!$A:$A,"&gt;="&amp;B$4,'Deliveries'!$A:$A,"&lt;"&amp;EDATE(B$4,1))+SUMIFS(Expenses!$E:$E,Expenses!$C:$C,"Trucking &amp; Labor",'Expenses'!$A:$A,"&gt;="&amp;B$4,'Expenses'!$A:$A,"&lt;"&amp;EDATE(B$4,1))+SUMPRODUCT(('Stock Count'!$A$5:$A$5000=EDATE(B$4,-1))*'Stock Count'!$D$5:$D$5000*'Stock Count'!$E$5:$E$5000)-SUMPRODUCT(('Stock Count'!$A$5:$A$5000=B$4)*'Stock Count'!$D$5:$D$5000*'Stock Count'!$E$5:$E$5000)</f>
        <v/>
      </c>
      <c r="C6" s="7">
        <f>SUMIFS(Deliveries!$E:$E,'Deliveries'!$A:$A,"&gt;="&amp;C$4,'Deliveries'!$A:$A,"&lt;"&amp;EDATE(C$4,1))+SUMIFS(Expenses!$E:$E,Expenses!$C:$C,"Trucking &amp; Labor",'Expenses'!$A:$A,"&gt;="&amp;C$4,'Expenses'!$A:$A,"&lt;"&amp;EDATE(C$4,1))+SUMPRODUCT(('Stock Count'!$A$5:$A$5000=EDATE(C$4,-1))*'Stock Count'!$D$5:$D$5000*'Stock Count'!$E$5:$E$5000)-SUMPRODUCT(('Stock Count'!$A$5:$A$5000=C$4)*'Stock Count'!$D$5:$D$5000*'Stock Count'!$E$5:$E$5000)</f>
        <v/>
      </c>
      <c r="D6" s="7">
        <f>SUMIFS(Deliveries!$E:$E,'Deliveries'!$A:$A,"&gt;="&amp;D$4,'Deliveries'!$A:$A,"&lt;"&amp;EDATE(D$4,1))+SUMIFS(Expenses!$E:$E,Expenses!$C:$C,"Trucking &amp; Labor",'Expenses'!$A:$A,"&gt;="&amp;D$4,'Expenses'!$A:$A,"&lt;"&amp;EDATE(D$4,1))+SUMPRODUCT(('Stock Count'!$A$5:$A$5000=EDATE(D$4,-1))*'Stock Count'!$D$5:$D$5000*'Stock Count'!$E$5:$E$5000)-SUMPRODUCT(('Stock Count'!$A$5:$A$5000=D$4)*'Stock Count'!$D$5:$D$5000*'Stock Count'!$E$5:$E$5000)</f>
        <v/>
      </c>
      <c r="E6" s="7">
        <f>SUMIFS(Deliveries!$E:$E,'Deliveries'!$A:$A,"&gt;="&amp;E$4,'Deliveries'!$A:$A,"&lt;"&amp;EDATE(E$4,1))+SUMIFS(Expenses!$E:$E,Expenses!$C:$C,"Trucking &amp; Labor",'Expenses'!$A:$A,"&gt;="&amp;E$4,'Expenses'!$A:$A,"&lt;"&amp;EDATE(E$4,1))+SUMPRODUCT(('Stock Count'!$A$5:$A$5000=EDATE(E$4,-1))*'Stock Count'!$D$5:$D$5000*'Stock Count'!$E$5:$E$5000)-SUMPRODUCT(('Stock Count'!$A$5:$A$5000=E$4)*'Stock Count'!$D$5:$D$5000*'Stock Count'!$E$5:$E$5000)</f>
        <v/>
      </c>
      <c r="F6" s="7">
        <f>SUMIFS(Deliveries!$E:$E,'Deliveries'!$A:$A,"&gt;="&amp;F$4,'Deliveries'!$A:$A,"&lt;"&amp;EDATE(F$4,1))+SUMIFS(Expenses!$E:$E,Expenses!$C:$C,"Trucking &amp; Labor",'Expenses'!$A:$A,"&gt;="&amp;F$4,'Expenses'!$A:$A,"&lt;"&amp;EDATE(F$4,1))+SUMPRODUCT(('Stock Count'!$A$5:$A$5000=EDATE(F$4,-1))*'Stock Count'!$D$5:$D$5000*'Stock Count'!$E$5:$E$5000)-SUMPRODUCT(('Stock Count'!$A$5:$A$5000=F$4)*'Stock Count'!$D$5:$D$5000*'Stock Count'!$E$5:$E$5000)</f>
        <v/>
      </c>
      <c r="G6" s="7">
        <f>SUMIFS(Deliveries!$E:$E,'Deliveries'!$A:$A,"&gt;="&amp;G$4,'Deliveries'!$A:$A,"&lt;"&amp;EDATE(G$4,1))+SUMIFS(Expenses!$E:$E,Expenses!$C:$C,"Trucking &amp; Labor",'Expenses'!$A:$A,"&gt;="&amp;G$4,'Expenses'!$A:$A,"&lt;"&amp;EDATE(G$4,1))+SUMPRODUCT(('Stock Count'!$A$5:$A$5000=EDATE(G$4,-1))*'Stock Count'!$D$5:$D$5000*'Stock Count'!$E$5:$E$5000)-SUMPRODUCT(('Stock Count'!$A$5:$A$5000=G$4)*'Stock Count'!$D$5:$D$5000*'Stock Count'!$E$5:$E$5000)</f>
        <v/>
      </c>
      <c r="H6" s="7">
        <f>SUMIFS(Deliveries!$E:$E,'Deliveries'!$A:$A,"&gt;="&amp;H$4,'Deliveries'!$A:$A,"&lt;"&amp;EDATE(H$4,1))+SUMIFS(Expenses!$E:$E,Expenses!$C:$C,"Trucking &amp; Labor",'Expenses'!$A:$A,"&gt;="&amp;H$4,'Expenses'!$A:$A,"&lt;"&amp;EDATE(H$4,1))+SUMPRODUCT(('Stock Count'!$A$5:$A$5000=EDATE(H$4,-1))*'Stock Count'!$D$5:$D$5000*'Stock Count'!$E$5:$E$5000)-SUMPRODUCT(('Stock Count'!$A$5:$A$5000=H$4)*'Stock Count'!$D$5:$D$5000*'Stock Count'!$E$5:$E$5000)</f>
        <v/>
      </c>
      <c r="I6" s="7">
        <f>SUMIFS(Deliveries!$E:$E,'Deliveries'!$A:$A,"&gt;="&amp;I$4,'Deliveries'!$A:$A,"&lt;"&amp;EDATE(I$4,1))+SUMIFS(Expenses!$E:$E,Expenses!$C:$C,"Trucking &amp; Labor",'Expenses'!$A:$A,"&gt;="&amp;I$4,'Expenses'!$A:$A,"&lt;"&amp;EDATE(I$4,1))+SUMPRODUCT(('Stock Count'!$A$5:$A$5000=EDATE(I$4,-1))*'Stock Count'!$D$5:$D$5000*'Stock Count'!$E$5:$E$5000)-SUMPRODUCT(('Stock Count'!$A$5:$A$5000=I$4)*'Stock Count'!$D$5:$D$5000*'Stock Count'!$E$5:$E$5000)</f>
        <v/>
      </c>
      <c r="J6" s="7">
        <f>SUMIFS(Deliveries!$E:$E,'Deliveries'!$A:$A,"&gt;="&amp;J$4,'Deliveries'!$A:$A,"&lt;"&amp;EDATE(J$4,1))+SUMIFS(Expenses!$E:$E,Expenses!$C:$C,"Trucking &amp; Labor",'Expenses'!$A:$A,"&gt;="&amp;J$4,'Expenses'!$A:$A,"&lt;"&amp;EDATE(J$4,1))+SUMPRODUCT(('Stock Count'!$A$5:$A$5000=EDATE(J$4,-1))*'Stock Count'!$D$5:$D$5000*'Stock Count'!$E$5:$E$5000)-SUMPRODUCT(('Stock Count'!$A$5:$A$5000=J$4)*'Stock Count'!$D$5:$D$5000*'Stock Count'!$E$5:$E$5000)</f>
        <v/>
      </c>
      <c r="K6" s="7">
        <f>SUMIFS(Deliveries!$E:$E,'Deliveries'!$A:$A,"&gt;="&amp;K$4,'Deliveries'!$A:$A,"&lt;"&amp;EDATE(K$4,1))+SUMIFS(Expenses!$E:$E,Expenses!$C:$C,"Trucking &amp; Labor",'Expenses'!$A:$A,"&gt;="&amp;K$4,'Expenses'!$A:$A,"&lt;"&amp;EDATE(K$4,1))+SUMPRODUCT(('Stock Count'!$A$5:$A$5000=EDATE(K$4,-1))*'Stock Count'!$D$5:$D$5000*'Stock Count'!$E$5:$E$5000)-SUMPRODUCT(('Stock Count'!$A$5:$A$5000=K$4)*'Stock Count'!$D$5:$D$5000*'Stock Count'!$E$5:$E$5000)</f>
        <v/>
      </c>
      <c r="L6" s="7">
        <f>SUMIFS(Deliveries!$E:$E,'Deliveries'!$A:$A,"&gt;="&amp;L$4,'Deliveries'!$A:$A,"&lt;"&amp;EDATE(L$4,1))+SUMIFS(Expenses!$E:$E,Expenses!$C:$C,"Trucking &amp; Labor",'Expenses'!$A:$A,"&gt;="&amp;L$4,'Expenses'!$A:$A,"&lt;"&amp;EDATE(L$4,1))+SUMPRODUCT(('Stock Count'!$A$5:$A$5000=EDATE(L$4,-1))*'Stock Count'!$D$5:$D$5000*'Stock Count'!$E$5:$E$5000)-SUMPRODUCT(('Stock Count'!$A$5:$A$5000=L$4)*'Stock Count'!$D$5:$D$5000*'Stock Count'!$E$5:$E$5000)</f>
        <v/>
      </c>
      <c r="M6" s="7">
        <f>SUMIFS(Deliveries!$E:$E,'Deliveries'!$A:$A,"&gt;="&amp;M$4,'Deliveries'!$A:$A,"&lt;"&amp;EDATE(M$4,1))+SUMIFS(Expenses!$E:$E,Expenses!$C:$C,"Trucking &amp; Labor",'Expenses'!$A:$A,"&gt;="&amp;M$4,'Expenses'!$A:$A,"&lt;"&amp;EDATE(M$4,1))+SUMPRODUCT(('Stock Count'!$A$5:$A$5000=EDATE(M$4,-1))*'Stock Count'!$D$5:$D$5000*'Stock Count'!$E$5:$E$5000)-SUMPRODUCT(('Stock Count'!$A$5:$A$5000=M$4)*'Stock Count'!$D$5:$D$5000*'Stock Count'!$E$5:$E$5000)</f>
        <v/>
      </c>
    </row>
    <row r="7">
      <c r="A7" s="2" t="inlineStr">
        <is>
          <t>Gross profit</t>
        </is>
      </c>
      <c r="B7" s="7">
        <f>B5-B6</f>
        <v/>
      </c>
      <c r="C7" s="7">
        <f>C5-C6</f>
        <v/>
      </c>
      <c r="D7" s="7">
        <f>D5-D6</f>
        <v/>
      </c>
      <c r="E7" s="7">
        <f>E5-E6</f>
        <v/>
      </c>
      <c r="F7" s="7">
        <f>F5-F6</f>
        <v/>
      </c>
      <c r="G7" s="7">
        <f>G5-G6</f>
        <v/>
      </c>
      <c r="H7" s="7">
        <f>H5-H6</f>
        <v/>
      </c>
      <c r="I7" s="7">
        <f>I5-I6</f>
        <v/>
      </c>
      <c r="J7" s="7">
        <f>J5-J6</f>
        <v/>
      </c>
      <c r="K7" s="7">
        <f>K5-K6</f>
        <v/>
      </c>
      <c r="L7" s="7">
        <f>L5-L6</f>
        <v/>
      </c>
      <c r="M7" s="7">
        <f>M5-M6</f>
        <v/>
      </c>
    </row>
    <row r="8">
      <c r="A8" s="2" t="inlineStr">
        <is>
          <t>Operating expenses</t>
        </is>
      </c>
      <c r="B8" s="7">
        <f>SUMIFS(Expenses!$E:$E,'Expenses'!$A:$A,"&gt;="&amp;B$4,'Expenses'!$A:$A,"&lt;"&amp;EDATE(B$4,1))-SUMIFS(Expenses!$E:$E,Expenses!$C:$C,"Trucking &amp; Labor",'Expenses'!$A:$A,"&gt;="&amp;B$4,'Expenses'!$A:$A,"&lt;"&amp;EDATE(B$4,1))</f>
        <v/>
      </c>
      <c r="C8" s="7">
        <f>SUMIFS(Expenses!$E:$E,'Expenses'!$A:$A,"&gt;="&amp;C$4,'Expenses'!$A:$A,"&lt;"&amp;EDATE(C$4,1))-SUMIFS(Expenses!$E:$E,Expenses!$C:$C,"Trucking &amp; Labor",'Expenses'!$A:$A,"&gt;="&amp;C$4,'Expenses'!$A:$A,"&lt;"&amp;EDATE(C$4,1))</f>
        <v/>
      </c>
      <c r="D8" s="7">
        <f>SUMIFS(Expenses!$E:$E,'Expenses'!$A:$A,"&gt;="&amp;D$4,'Expenses'!$A:$A,"&lt;"&amp;EDATE(D$4,1))-SUMIFS(Expenses!$E:$E,Expenses!$C:$C,"Trucking &amp; Labor",'Expenses'!$A:$A,"&gt;="&amp;D$4,'Expenses'!$A:$A,"&lt;"&amp;EDATE(D$4,1))</f>
        <v/>
      </c>
      <c r="E8" s="7">
        <f>SUMIFS(Expenses!$E:$E,'Expenses'!$A:$A,"&gt;="&amp;E$4,'Expenses'!$A:$A,"&lt;"&amp;EDATE(E$4,1))-SUMIFS(Expenses!$E:$E,Expenses!$C:$C,"Trucking &amp; Labor",'Expenses'!$A:$A,"&gt;="&amp;E$4,'Expenses'!$A:$A,"&lt;"&amp;EDATE(E$4,1))</f>
        <v/>
      </c>
      <c r="F8" s="7">
        <f>SUMIFS(Expenses!$E:$E,'Expenses'!$A:$A,"&gt;="&amp;F$4,'Expenses'!$A:$A,"&lt;"&amp;EDATE(F$4,1))-SUMIFS(Expenses!$E:$E,Expenses!$C:$C,"Trucking &amp; Labor",'Expenses'!$A:$A,"&gt;="&amp;F$4,'Expenses'!$A:$A,"&lt;"&amp;EDATE(F$4,1))</f>
        <v/>
      </c>
      <c r="G8" s="7">
        <f>SUMIFS(Expenses!$E:$E,'Expenses'!$A:$A,"&gt;="&amp;G$4,'Expenses'!$A:$A,"&lt;"&amp;EDATE(G$4,1))-SUMIFS(Expenses!$E:$E,Expenses!$C:$C,"Trucking &amp; Labor",'Expenses'!$A:$A,"&gt;="&amp;G$4,'Expenses'!$A:$A,"&lt;"&amp;EDATE(G$4,1))</f>
        <v/>
      </c>
      <c r="H8" s="7">
        <f>SUMIFS(Expenses!$E:$E,'Expenses'!$A:$A,"&gt;="&amp;H$4,'Expenses'!$A:$A,"&lt;"&amp;EDATE(H$4,1))-SUMIFS(Expenses!$E:$E,Expenses!$C:$C,"Trucking &amp; Labor",'Expenses'!$A:$A,"&gt;="&amp;H$4,'Expenses'!$A:$A,"&lt;"&amp;EDATE(H$4,1))</f>
        <v/>
      </c>
      <c r="I8" s="7">
        <f>SUMIFS(Expenses!$E:$E,'Expenses'!$A:$A,"&gt;="&amp;I$4,'Expenses'!$A:$A,"&lt;"&amp;EDATE(I$4,1))-SUMIFS(Expenses!$E:$E,Expenses!$C:$C,"Trucking &amp; Labor",'Expenses'!$A:$A,"&gt;="&amp;I$4,'Expenses'!$A:$A,"&lt;"&amp;EDATE(I$4,1))</f>
        <v/>
      </c>
      <c r="J8" s="7">
        <f>SUMIFS(Expenses!$E:$E,'Expenses'!$A:$A,"&gt;="&amp;J$4,'Expenses'!$A:$A,"&lt;"&amp;EDATE(J$4,1))-SUMIFS(Expenses!$E:$E,Expenses!$C:$C,"Trucking &amp; Labor",'Expenses'!$A:$A,"&gt;="&amp;J$4,'Expenses'!$A:$A,"&lt;"&amp;EDATE(J$4,1))</f>
        <v/>
      </c>
      <c r="K8" s="7">
        <f>SUMIFS(Expenses!$E:$E,'Expenses'!$A:$A,"&gt;="&amp;K$4,'Expenses'!$A:$A,"&lt;"&amp;EDATE(K$4,1))-SUMIFS(Expenses!$E:$E,Expenses!$C:$C,"Trucking &amp; Labor",'Expenses'!$A:$A,"&gt;="&amp;K$4,'Expenses'!$A:$A,"&lt;"&amp;EDATE(K$4,1))</f>
        <v/>
      </c>
      <c r="L8" s="7">
        <f>SUMIFS(Expenses!$E:$E,'Expenses'!$A:$A,"&gt;="&amp;L$4,'Expenses'!$A:$A,"&lt;"&amp;EDATE(L$4,1))-SUMIFS(Expenses!$E:$E,Expenses!$C:$C,"Trucking &amp; Labor",'Expenses'!$A:$A,"&gt;="&amp;L$4,'Expenses'!$A:$A,"&lt;"&amp;EDATE(L$4,1))</f>
        <v/>
      </c>
      <c r="M8" s="7">
        <f>SUMIFS(Expenses!$E:$E,'Expenses'!$A:$A,"&gt;="&amp;M$4,'Expenses'!$A:$A,"&lt;"&amp;EDATE(M$4,1))-SUMIFS(Expenses!$E:$E,Expenses!$C:$C,"Trucking &amp; Labor",'Expenses'!$A:$A,"&gt;="&amp;M$4,'Expenses'!$A:$A,"&lt;"&amp;EDATE(M$4,1))</f>
        <v/>
      </c>
    </row>
    <row r="9">
      <c r="A9" s="4" t="inlineStr">
        <is>
          <t>Net profit</t>
        </is>
      </c>
      <c r="B9" s="8">
        <f>B7-B8</f>
        <v/>
      </c>
      <c r="C9" s="8">
        <f>C7-C8</f>
        <v/>
      </c>
      <c r="D9" s="8">
        <f>D7-D8</f>
        <v/>
      </c>
      <c r="E9" s="8">
        <f>E7-E8</f>
        <v/>
      </c>
      <c r="F9" s="8">
        <f>F7-F8</f>
        <v/>
      </c>
      <c r="G9" s="8">
        <f>G7-G8</f>
        <v/>
      </c>
      <c r="H9" s="8">
        <f>H7-H8</f>
        <v/>
      </c>
      <c r="I9" s="8">
        <f>I7-I8</f>
        <v/>
      </c>
      <c r="J9" s="8">
        <f>J7-J8</f>
        <v/>
      </c>
      <c r="K9" s="8">
        <f>K7-K8</f>
        <v/>
      </c>
      <c r="L9" s="8">
        <f>L7-L8</f>
        <v/>
      </c>
      <c r="M9" s="8">
        <f>M7-M8</f>
        <v/>
      </c>
    </row>
    <row r="10">
      <c r="A10" s="2" t="inlineStr">
        <is>
          <t>Spoilage at cost</t>
        </is>
      </c>
      <c r="B10" s="7">
        <f>SUMIFS('Daily Sales'!$F:$F,'Daily Sales'!$A:$A,"&gt;="&amp;B$4,'Daily Sales'!$A:$A,"&lt;"&amp;EDATE(B$4,1))</f>
        <v/>
      </c>
      <c r="C10" s="7">
        <f>SUMIFS('Daily Sales'!$F:$F,'Daily Sales'!$A:$A,"&gt;="&amp;C$4,'Daily Sales'!$A:$A,"&lt;"&amp;EDATE(C$4,1))</f>
        <v/>
      </c>
      <c r="D10" s="7">
        <f>SUMIFS('Daily Sales'!$F:$F,'Daily Sales'!$A:$A,"&gt;="&amp;D$4,'Daily Sales'!$A:$A,"&lt;"&amp;EDATE(D$4,1))</f>
        <v/>
      </c>
      <c r="E10" s="7">
        <f>SUMIFS('Daily Sales'!$F:$F,'Daily Sales'!$A:$A,"&gt;="&amp;E$4,'Daily Sales'!$A:$A,"&lt;"&amp;EDATE(E$4,1))</f>
        <v/>
      </c>
      <c r="F10" s="7">
        <f>SUMIFS('Daily Sales'!$F:$F,'Daily Sales'!$A:$A,"&gt;="&amp;F$4,'Daily Sales'!$A:$A,"&lt;"&amp;EDATE(F$4,1))</f>
        <v/>
      </c>
      <c r="G10" s="7">
        <f>SUMIFS('Daily Sales'!$F:$F,'Daily Sales'!$A:$A,"&gt;="&amp;G$4,'Daily Sales'!$A:$A,"&lt;"&amp;EDATE(G$4,1))</f>
        <v/>
      </c>
      <c r="H10" s="7">
        <f>SUMIFS('Daily Sales'!$F:$F,'Daily Sales'!$A:$A,"&gt;="&amp;H$4,'Daily Sales'!$A:$A,"&lt;"&amp;EDATE(H$4,1))</f>
        <v/>
      </c>
      <c r="I10" s="7">
        <f>SUMIFS('Daily Sales'!$F:$F,'Daily Sales'!$A:$A,"&gt;="&amp;I$4,'Daily Sales'!$A:$A,"&lt;"&amp;EDATE(I$4,1))</f>
        <v/>
      </c>
      <c r="J10" s="7">
        <f>SUMIFS('Daily Sales'!$F:$F,'Daily Sales'!$A:$A,"&gt;="&amp;J$4,'Daily Sales'!$A:$A,"&lt;"&amp;EDATE(J$4,1))</f>
        <v/>
      </c>
      <c r="K10" s="7">
        <f>SUMIFS('Daily Sales'!$F:$F,'Daily Sales'!$A:$A,"&gt;="&amp;K$4,'Daily Sales'!$A:$A,"&lt;"&amp;EDATE(K$4,1))</f>
        <v/>
      </c>
      <c r="L10" s="7">
        <f>SUMIFS('Daily Sales'!$F:$F,'Daily Sales'!$A:$A,"&gt;="&amp;L$4,'Daily Sales'!$A:$A,"&lt;"&amp;EDATE(L$4,1))</f>
        <v/>
      </c>
      <c r="M10" s="7">
        <f>SUMIFS('Daily Sales'!$F:$F,'Daily Sales'!$A:$A,"&gt;="&amp;M$4,'Daily Sales'!$A:$A,"&lt;"&amp;EDATE(M$4,1))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24" customWidth="1" min="3" max="3"/>
    <col width="4" customWidth="1" min="4" max="4"/>
    <col width="30" customWidth="1" min="5" max="5"/>
    <col width="12" customWidth="1" min="6" max="6"/>
  </cols>
  <sheetData>
    <row r="1">
      <c r="A1" s="1" t="inlineStr">
        <is>
          <t>Settings</t>
        </is>
      </c>
      <c r="B1" s="2" t="n"/>
      <c r="C1" s="2" t="n"/>
      <c r="D1" s="2" t="n"/>
      <c r="E1" s="2" t="n"/>
      <c r="F1" s="2" t="n"/>
    </row>
    <row r="2">
      <c r="A2" s="3" t="inlineStr">
        <is>
          <t>Blue cells are inputs. Change a threshold here and every alert uses it.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Branches</t>
        </is>
      </c>
      <c r="B4" s="2" t="n"/>
      <c r="C4" s="4" t="inlineStr">
        <is>
          <t>Expense categories</t>
        </is>
      </c>
      <c r="D4" s="2" t="n"/>
      <c r="E4" s="4" t="inlineStr">
        <is>
          <t>Alert thresholds</t>
        </is>
      </c>
      <c r="F4" s="2" t="n"/>
    </row>
    <row r="5">
      <c r="A5" s="14" t="inlineStr">
        <is>
          <t>Main</t>
        </is>
      </c>
      <c r="B5" s="2" t="n"/>
      <c r="C5" s="14" t="inlineStr">
        <is>
          <t>Rent</t>
        </is>
      </c>
      <c r="D5" s="2" t="n"/>
      <c r="E5" s="2" t="inlineStr">
        <is>
          <t>Cash short alert, per day (₱)</t>
        </is>
      </c>
      <c r="F5" s="15" t="n">
        <v>300</v>
      </c>
    </row>
    <row r="6">
      <c r="A6" s="14" t="inlineStr">
        <is>
          <t>Rizal</t>
        </is>
      </c>
      <c r="B6" s="2" t="n"/>
      <c r="C6" s="14" t="inlineStr">
        <is>
          <t>Salary (net paid)</t>
        </is>
      </c>
      <c r="D6" s="2" t="n"/>
      <c r="E6" s="2" t="inlineStr">
        <is>
          <t>Spoilage alert, % of sales</t>
        </is>
      </c>
      <c r="F6" s="16" t="n">
        <v>0.05</v>
      </c>
    </row>
    <row r="7">
      <c r="A7" s="2" t="n"/>
      <c r="B7" s="2" t="n"/>
      <c r="C7" s="14" t="inlineStr">
        <is>
          <t>Cash Advance</t>
        </is>
      </c>
      <c r="D7" s="2" t="n"/>
      <c r="E7" s="2" t="n"/>
      <c r="F7" s="2" t="n"/>
    </row>
    <row r="8">
      <c r="A8" s="2" t="n"/>
      <c r="B8" s="2" t="n"/>
      <c r="C8" s="14" t="inlineStr">
        <is>
          <t>Food &amp; Water</t>
        </is>
      </c>
      <c r="D8" s="2" t="n"/>
      <c r="E8" s="2" t="n"/>
      <c r="F8" s="2" t="n"/>
    </row>
    <row r="9">
      <c r="A9" s="2" t="n"/>
      <c r="B9" s="2" t="n"/>
      <c r="C9" s="14" t="inlineStr">
        <is>
          <t>Utilities</t>
        </is>
      </c>
      <c r="D9" s="2" t="n"/>
      <c r="E9" s="2" t="n"/>
      <c r="F9" s="2" t="n"/>
    </row>
    <row r="10">
      <c r="A10" s="2" t="n"/>
      <c r="B10" s="2" t="n"/>
      <c r="C10" s="14" t="inlineStr">
        <is>
          <t>Plastic</t>
        </is>
      </c>
      <c r="D10" s="2" t="n"/>
      <c r="E10" s="2" t="n"/>
      <c r="F10" s="2" t="n"/>
    </row>
    <row r="11">
      <c r="A11" s="2" t="n"/>
      <c r="B11" s="2" t="n"/>
      <c r="C11" s="14" t="inlineStr">
        <is>
          <t>Trash</t>
        </is>
      </c>
      <c r="D11" s="2" t="n"/>
      <c r="E11" s="2" t="n"/>
      <c r="F11" s="2" t="n"/>
    </row>
    <row r="12">
      <c r="A12" s="2" t="n"/>
      <c r="B12" s="2" t="n"/>
      <c r="C12" s="14" t="inlineStr">
        <is>
          <t>Repairs &amp; Maintenance</t>
        </is>
      </c>
      <c r="D12" s="2" t="n"/>
      <c r="E12" s="2" t="n"/>
      <c r="F12" s="2" t="n"/>
    </row>
    <row r="13">
      <c r="A13" s="2" t="n"/>
      <c r="B13" s="2" t="n"/>
      <c r="C13" s="14" t="inlineStr">
        <is>
          <t>Ads &amp; Tarpaulin</t>
        </is>
      </c>
      <c r="D13" s="2" t="n"/>
      <c r="E13" s="2" t="n"/>
      <c r="F13" s="2" t="n"/>
    </row>
    <row r="14">
      <c r="A14" s="2" t="n"/>
      <c r="B14" s="2" t="n"/>
      <c r="C14" s="14" t="inlineStr">
        <is>
          <t>Trucking &amp; Labor</t>
        </is>
      </c>
      <c r="D14" s="2" t="n"/>
      <c r="E14" s="2" t="n"/>
      <c r="F14" s="2" t="n"/>
    </row>
    <row r="15">
      <c r="A15" s="2" t="n"/>
      <c r="B15" s="2" t="n"/>
      <c r="C15" s="14" t="inlineStr">
        <is>
          <t>Other</t>
        </is>
      </c>
      <c r="D15" s="2" t="n"/>
      <c r="E15" s="2" t="n"/>
      <c r="F15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Daily sales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One row per branch per day. Blue = typed in. Cash short is negative, surplus positive.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7" t="inlineStr">
        <is>
          <t>Date</t>
        </is>
      </c>
      <c r="B4" s="17" t="inlineStr">
        <is>
          <t>Branch</t>
        </is>
      </c>
      <c r="C4" s="17" t="inlineStr">
        <is>
          <t>Retail sales (₱)</t>
        </is>
      </c>
      <c r="D4" s="17" t="inlineStr">
        <is>
          <t>Wholesale sales (₱)</t>
        </is>
      </c>
      <c r="E4" s="17" t="inlineStr">
        <is>
          <t>Cash short (-) / over (+) (₱)</t>
        </is>
      </c>
      <c r="F4" s="17" t="inlineStr">
        <is>
          <t>Spoilage at cost (₱)</t>
        </is>
      </c>
      <c r="G4" s="17" t="inlineStr">
        <is>
          <t>Lakatan sold (kg)</t>
        </is>
      </c>
      <c r="H4" s="17" t="inlineStr">
        <is>
          <t>Lakatan spoiled (kg)</t>
        </is>
      </c>
      <c r="I4" s="17" t="inlineStr">
        <is>
          <t>Notes</t>
        </is>
      </c>
    </row>
    <row r="5">
      <c r="A5" s="18" t="n">
        <v>46296</v>
      </c>
      <c r="B5" s="14" t="inlineStr">
        <is>
          <t>Main</t>
        </is>
      </c>
      <c r="C5" s="15" t="n">
        <v>16180</v>
      </c>
      <c r="D5" s="15" t="n">
        <v>4543</v>
      </c>
      <c r="E5" s="15" t="n">
        <v>134.55</v>
      </c>
      <c r="F5" s="15" t="n"/>
      <c r="G5" s="19" t="n"/>
      <c r="H5" s="19" t="n"/>
      <c r="I5" s="14" t="n"/>
    </row>
    <row r="6">
      <c r="A6" s="18" t="n">
        <v>46296</v>
      </c>
      <c r="B6" s="14" t="inlineStr">
        <is>
          <t>Rizal</t>
        </is>
      </c>
      <c r="C6" s="15" t="n">
        <v>3118</v>
      </c>
      <c r="D6" s="15" t="n">
        <v>0</v>
      </c>
      <c r="E6" s="15" t="n">
        <v>397.75</v>
      </c>
      <c r="F6" s="15" t="n"/>
      <c r="G6" s="19" t="n"/>
      <c r="H6" s="19" t="n"/>
      <c r="I6" s="14" t="n"/>
    </row>
    <row r="7">
      <c r="A7" s="18" t="n">
        <v>46297</v>
      </c>
      <c r="B7" s="14" t="inlineStr">
        <is>
          <t>Main</t>
        </is>
      </c>
      <c r="C7" s="15" t="n">
        <v>14085</v>
      </c>
      <c r="D7" s="15" t="n">
        <v>0</v>
      </c>
      <c r="E7" s="15" t="n">
        <v>367.35</v>
      </c>
      <c r="F7" s="15" t="n"/>
      <c r="G7" s="19" t="n"/>
      <c r="H7" s="19" t="n"/>
      <c r="I7" s="14" t="n"/>
    </row>
    <row r="8">
      <c r="A8" s="18" t="n">
        <v>46297</v>
      </c>
      <c r="B8" s="14" t="inlineStr">
        <is>
          <t>Rizal</t>
        </is>
      </c>
      <c r="C8" s="15" t="n">
        <v>4765</v>
      </c>
      <c r="D8" s="15" t="n">
        <v>0</v>
      </c>
      <c r="E8" s="15" t="n">
        <v>75.05</v>
      </c>
      <c r="F8" s="15" t="n"/>
      <c r="G8" s="19" t="n"/>
      <c r="H8" s="19" t="n"/>
      <c r="I8" s="14" t="n"/>
    </row>
    <row r="9">
      <c r="A9" s="18" t="n">
        <v>46298</v>
      </c>
      <c r="B9" s="14" t="inlineStr">
        <is>
          <t>Main</t>
        </is>
      </c>
      <c r="C9" s="15" t="n">
        <v>17378</v>
      </c>
      <c r="D9" s="15" t="n">
        <v>868</v>
      </c>
      <c r="E9" s="15" t="n">
        <v>21.7</v>
      </c>
      <c r="F9" s="15" t="n"/>
      <c r="G9" s="19" t="n"/>
      <c r="H9" s="19" t="n"/>
      <c r="I9" s="14" t="n"/>
    </row>
    <row r="10">
      <c r="A10" s="18" t="n">
        <v>46298</v>
      </c>
      <c r="B10" s="14" t="inlineStr">
        <is>
          <t>Rizal</t>
        </is>
      </c>
      <c r="C10" s="15" t="n">
        <v>4246</v>
      </c>
      <c r="D10" s="15" t="n">
        <v>0</v>
      </c>
      <c r="E10" s="15" t="n">
        <v>-310.85</v>
      </c>
      <c r="F10" s="15" t="n"/>
      <c r="G10" s="19" t="n"/>
      <c r="H10" s="19" t="n"/>
      <c r="I10" s="14" t="n"/>
    </row>
    <row r="11">
      <c r="A11" s="18" t="n">
        <v>46299</v>
      </c>
      <c r="B11" s="14" t="inlineStr">
        <is>
          <t>Main</t>
        </is>
      </c>
      <c r="C11" s="15" t="n">
        <v>21595</v>
      </c>
      <c r="D11" s="15" t="n">
        <v>9783</v>
      </c>
      <c r="E11" s="15" t="n">
        <v>446.7</v>
      </c>
      <c r="F11" s="15" t="n"/>
      <c r="G11" s="19" t="n"/>
      <c r="H11" s="19" t="n"/>
      <c r="I11" s="14" t="n"/>
    </row>
    <row r="12">
      <c r="A12" s="18" t="n">
        <v>46299</v>
      </c>
      <c r="B12" s="14" t="inlineStr">
        <is>
          <t>Rizal</t>
        </is>
      </c>
      <c r="C12" s="15" t="n">
        <v>4065</v>
      </c>
      <c r="D12" s="15" t="n">
        <v>0</v>
      </c>
      <c r="E12" s="15" t="n">
        <v>-61.65</v>
      </c>
      <c r="F12" s="15" t="n"/>
      <c r="G12" s="19" t="n"/>
      <c r="H12" s="19" t="n"/>
      <c r="I12" s="14" t="n"/>
    </row>
    <row r="13">
      <c r="A13" s="18" t="n">
        <v>46300</v>
      </c>
      <c r="B13" s="14" t="inlineStr">
        <is>
          <t>Main</t>
        </is>
      </c>
      <c r="C13" s="15" t="n">
        <v>19770</v>
      </c>
      <c r="D13" s="15" t="n">
        <v>930</v>
      </c>
      <c r="E13" s="15" t="n">
        <v>-667.5</v>
      </c>
      <c r="F13" s="15" t="n"/>
      <c r="G13" s="19" t="n"/>
      <c r="H13" s="19" t="n"/>
      <c r="I13" s="14" t="n"/>
    </row>
    <row r="14">
      <c r="A14" s="18" t="n">
        <v>46300</v>
      </c>
      <c r="B14" s="14" t="inlineStr">
        <is>
          <t>Rizal</t>
        </is>
      </c>
      <c r="C14" s="15" t="n">
        <v>5919</v>
      </c>
      <c r="D14" s="15" t="n">
        <v>0</v>
      </c>
      <c r="E14" s="15" t="n">
        <v>9.199999999999999</v>
      </c>
      <c r="F14" s="15" t="n"/>
      <c r="G14" s="19" t="n"/>
      <c r="H14" s="19" t="n"/>
      <c r="I14" s="14" t="n"/>
    </row>
    <row r="15">
      <c r="A15" s="18" t="n">
        <v>46301</v>
      </c>
      <c r="B15" s="14" t="inlineStr">
        <is>
          <t>Main</t>
        </is>
      </c>
      <c r="C15" s="15" t="n">
        <v>15876</v>
      </c>
      <c r="D15" s="15" t="n">
        <v>0</v>
      </c>
      <c r="E15" s="15" t="n">
        <v>-369.55</v>
      </c>
      <c r="F15" s="15" t="n"/>
      <c r="G15" s="19" t="n"/>
      <c r="H15" s="19" t="n"/>
      <c r="I15" s="14" t="n"/>
    </row>
    <row r="16">
      <c r="A16" s="18" t="n">
        <v>46301</v>
      </c>
      <c r="B16" s="14" t="inlineStr">
        <is>
          <t>Rizal</t>
        </is>
      </c>
      <c r="C16" s="15" t="n">
        <v>3622</v>
      </c>
      <c r="D16" s="15" t="n">
        <v>0</v>
      </c>
      <c r="E16" s="15" t="n">
        <v>438.55</v>
      </c>
      <c r="F16" s="15" t="n"/>
      <c r="G16" s="19" t="n"/>
      <c r="H16" s="19" t="n"/>
      <c r="I16" s="14" t="n"/>
    </row>
  </sheetData>
  <dataValidations count="1">
    <dataValidation sqref="B5:B2000" showDropDown="0" showInputMessage="0" showErrorMessage="0" allowBlank="1" type="list">
      <formula1>Settings!$A$5:$A$6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0" customWidth="1" min="4" max="4"/>
    <col width="15" customWidth="1" min="5" max="5"/>
    <col width="40" customWidth="1" min="6" max="6"/>
  </cols>
  <sheetData>
    <row r="1">
      <c r="A1" s="1" t="inlineStr">
        <is>
          <t>Fruit deliveries</t>
        </is>
      </c>
      <c r="B1" s="2" t="n"/>
      <c r="C1" s="2" t="n"/>
      <c r="D1" s="2" t="n"/>
      <c r="E1" s="2" t="n"/>
      <c r="F1" s="2" t="n"/>
    </row>
    <row r="2">
      <c r="A2" s="3" t="inlineStr">
        <is>
          <t>One row per item per delivery. Trucking goes in Expenses as "Trucking &amp; Labor".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7" t="inlineStr">
        <is>
          <t>Date</t>
        </is>
      </c>
      <c r="B4" s="17" t="inlineStr">
        <is>
          <t>Supplier</t>
        </is>
      </c>
      <c r="C4" s="17" t="inlineStr">
        <is>
          <t>Item</t>
        </is>
      </c>
      <c r="D4" s="17" t="inlineStr">
        <is>
          <t>Kg</t>
        </is>
      </c>
      <c r="E4" s="17" t="inlineStr">
        <is>
          <t>Amount paid (₱)</t>
        </is>
      </c>
      <c r="F4" s="17" t="inlineStr">
        <is>
          <t>Notes</t>
        </is>
      </c>
    </row>
    <row r="5">
      <c r="A5" s="18" t="n">
        <v>46301</v>
      </c>
      <c r="B5" s="14" t="inlineStr">
        <is>
          <t>Various</t>
        </is>
      </c>
      <c r="C5" s="14" t="inlineStr">
        <is>
          <t>All fruit</t>
        </is>
      </c>
      <c r="D5" s="20" t="n"/>
      <c r="E5" s="15" t="n">
        <v>39250</v>
      </c>
      <c r="F5" s="14" t="inlineStr">
        <is>
          <t>1-6 Oct total, itemized kg not available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Expenses</t>
        </is>
      </c>
      <c r="B1" s="2" t="n"/>
      <c r="C1" s="2" t="n"/>
      <c r="D1" s="2" t="n"/>
      <c r="E1" s="2" t="n"/>
      <c r="F1" s="2" t="n"/>
    </row>
    <row r="2">
      <c r="A2" s="3" t="inlineStr">
        <is>
          <t>Record cash advances when given (category "Cash Advance") and salary as the net amount paid.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7" t="inlineStr">
        <is>
          <t>Date</t>
        </is>
      </c>
      <c r="B4" s="17" t="inlineStr">
        <is>
          <t>Branch</t>
        </is>
      </c>
      <c r="C4" s="17" t="inlineStr">
        <is>
          <t>Category</t>
        </is>
      </c>
      <c r="D4" s="17" t="inlineStr">
        <is>
          <t>Description</t>
        </is>
      </c>
      <c r="E4" s="17" t="inlineStr">
        <is>
          <t>Amount (₱)</t>
        </is>
      </c>
      <c r="F4" s="17" t="inlineStr">
        <is>
          <t>Paid from</t>
        </is>
      </c>
    </row>
    <row r="5">
      <c r="A5" s="18" t="n">
        <v>46301</v>
      </c>
      <c r="B5" s="14" t="inlineStr">
        <is>
          <t>Main</t>
        </is>
      </c>
      <c r="C5" s="14" t="inlineStr">
        <is>
          <t>Plastic</t>
        </is>
      </c>
      <c r="D5" s="14" t="inlineStr">
        <is>
          <t>1-6 Oct total from old expense sheet</t>
        </is>
      </c>
      <c r="E5" s="15" t="n">
        <v>57</v>
      </c>
      <c r="F5" s="14" t="n"/>
    </row>
    <row r="6">
      <c r="A6" s="18" t="n">
        <v>46301</v>
      </c>
      <c r="B6" s="14" t="inlineStr">
        <is>
          <t>Main</t>
        </is>
      </c>
      <c r="C6" s="14" t="inlineStr">
        <is>
          <t>Trash</t>
        </is>
      </c>
      <c r="D6" s="14" t="inlineStr">
        <is>
          <t>1-6 Oct total from old expense sheet</t>
        </is>
      </c>
      <c r="E6" s="15" t="n">
        <v>20</v>
      </c>
      <c r="F6" s="14" t="n"/>
    </row>
    <row r="7">
      <c r="A7" s="18" t="n">
        <v>46301</v>
      </c>
      <c r="B7" s="14" t="inlineStr">
        <is>
          <t>Main</t>
        </is>
      </c>
      <c r="C7" s="14" t="inlineStr">
        <is>
          <t>Food &amp; Water</t>
        </is>
      </c>
      <c r="D7" s="14" t="inlineStr">
        <is>
          <t>1-6 Oct total from old expense sheet</t>
        </is>
      </c>
      <c r="E7" s="15" t="n">
        <v>2401</v>
      </c>
      <c r="F7" s="14" t="n"/>
    </row>
    <row r="8">
      <c r="A8" s="18" t="n">
        <v>46301</v>
      </c>
      <c r="B8" s="14" t="inlineStr">
        <is>
          <t>Main</t>
        </is>
      </c>
      <c r="C8" s="14" t="inlineStr">
        <is>
          <t>Trucking &amp; Labor</t>
        </is>
      </c>
      <c r="D8" s="14" t="inlineStr">
        <is>
          <t>1-6 Oct total from old expense sheet</t>
        </is>
      </c>
      <c r="E8" s="15" t="n">
        <v>16612</v>
      </c>
      <c r="F8" s="14" t="n"/>
    </row>
    <row r="9">
      <c r="A9" s="18" t="n">
        <v>46301</v>
      </c>
      <c r="B9" s="14" t="inlineStr">
        <is>
          <t>Rizal</t>
        </is>
      </c>
      <c r="C9" s="14" t="inlineStr">
        <is>
          <t>Food &amp; Water</t>
        </is>
      </c>
      <c r="D9" s="14" t="inlineStr">
        <is>
          <t>1-6 Oct total from old expense sheet</t>
        </is>
      </c>
      <c r="E9" s="15" t="n">
        <v>395</v>
      </c>
      <c r="F9" s="14" t="n"/>
    </row>
    <row r="10">
      <c r="A10" s="18" t="n">
        <v>46301</v>
      </c>
      <c r="B10" s="14" t="inlineStr">
        <is>
          <t>Main</t>
        </is>
      </c>
      <c r="C10" s="14" t="inlineStr">
        <is>
          <t>Other</t>
        </is>
      </c>
      <c r="D10" s="14" t="inlineStr">
        <is>
          <t>1-6 Oct total from old expense sheet</t>
        </is>
      </c>
      <c r="E10" s="15" t="n">
        <v>4025</v>
      </c>
      <c r="F10" s="14" t="n"/>
    </row>
    <row r="11">
      <c r="A11" s="18" t="n">
        <v>46301</v>
      </c>
      <c r="B11" s="14" t="inlineStr">
        <is>
          <t>Rizal</t>
        </is>
      </c>
      <c r="C11" s="14" t="inlineStr">
        <is>
          <t>Ads &amp; Tarpaulin</t>
        </is>
      </c>
      <c r="D11" s="14" t="inlineStr">
        <is>
          <t>1-6 Oct total from old expense sheet</t>
        </is>
      </c>
      <c r="E11" s="15" t="n">
        <v>10</v>
      </c>
      <c r="F11" s="14" t="n"/>
    </row>
  </sheetData>
  <dataValidations count="3">
    <dataValidation sqref="B5:B3000" showDropDown="0" showInputMessage="0" showErrorMessage="0" allowBlank="1" type="list">
      <formula1>Settings!$A$5:$A$6</formula1>
    </dataValidation>
    <dataValidation sqref="C5:C3000" showDropDown="0" showInputMessage="0" showErrorMessage="0" allowBlank="1" type="list">
      <formula1>Settings!$C$5:$C$15</formula1>
    </dataValidation>
    <dataValidation sqref="F5:F3000" showDropDown="0" showInputMessage="0" showErrorMessage="0" allowBlank="1" type="list">
      <formula1>"Drawer,Owner cash,GCash"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Month-end stock count</t>
        </is>
      </c>
      <c r="B1" s="2" t="n"/>
      <c r="C1" s="2" t="n"/>
      <c r="D1" s="2" t="n"/>
      <c r="E1" s="2" t="n"/>
    </row>
    <row r="2">
      <c r="A2" s="3" t="inlineStr">
        <is>
          <t>Count what is left on the last day of each month. "Month" = the month that just ended (first day).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7" t="inlineStr">
        <is>
          <t>Month</t>
        </is>
      </c>
      <c r="B4" s="17" t="inlineStr">
        <is>
          <t>Branch</t>
        </is>
      </c>
      <c r="C4" s="17" t="inlineStr">
        <is>
          <t>Item</t>
        </is>
      </c>
      <c r="D4" s="17" t="inlineStr">
        <is>
          <t>Kg on hand</t>
        </is>
      </c>
      <c r="E4" s="17" t="inlineStr">
        <is>
          <t>Cost per kg (₱)</t>
        </is>
      </c>
    </row>
    <row r="5">
      <c r="A5" s="2" t="n"/>
      <c r="B5" s="2" t="n"/>
      <c r="C5" s="2" t="n"/>
      <c r="D5" s="2" t="n"/>
      <c r="E5" s="2" t="n"/>
    </row>
  </sheetData>
  <dataValidations count="1">
    <dataValidation sqref="B5:B1000" showDropDown="0" showInputMessage="0" showErrorMessage="0" allowBlank="1" type="list">
      <formula1>Settings!$A$5:$A$6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5" customWidth="1" min="4" max="4"/>
    <col width="15" customWidth="1" min="5" max="5"/>
  </cols>
  <sheetData>
    <row r="1">
      <c r="A1" s="1" t="inlineStr">
        <is>
          <t>History, Sep 2024 to Sep 2026</t>
        </is>
      </c>
      <c r="B1" s="2" t="n"/>
      <c r="C1" s="2" t="n"/>
      <c r="D1" s="2" t="n"/>
      <c r="E1" s="2" t="n"/>
    </row>
    <row r="2">
      <c r="A2" s="3" t="inlineStr">
        <is>
          <t>Copied from the old Monthly Records dashboard. "Cash result" is sales minus cash spent that month, not profit.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7" t="inlineStr">
        <is>
          <t>Month</t>
        </is>
      </c>
      <c r="B4" s="17" t="inlineStr">
        <is>
          <t>Sales (₱)</t>
        </is>
      </c>
      <c r="C4" s="17" t="inlineStr">
        <is>
          <t>Fruit purchases (₱)</t>
        </is>
      </c>
      <c r="D4" s="17" t="inlineStr">
        <is>
          <t>Expenses (₱)</t>
        </is>
      </c>
      <c r="E4" s="17" t="inlineStr">
        <is>
          <t>Cash result (₱)</t>
        </is>
      </c>
    </row>
    <row r="5">
      <c r="A5" s="21" t="n">
        <v>45536</v>
      </c>
      <c r="B5" s="15" t="n">
        <v>103924.5</v>
      </c>
      <c r="C5" s="15" t="n">
        <v>108891</v>
      </c>
      <c r="D5" s="15" t="n">
        <v>5520</v>
      </c>
      <c r="E5" s="22">
        <f>B5-C5-D5</f>
        <v/>
      </c>
    </row>
    <row r="6">
      <c r="A6" s="21" t="n">
        <v>45566</v>
      </c>
      <c r="B6" s="15" t="n">
        <v>243188</v>
      </c>
      <c r="C6" s="15" t="n">
        <v>205831.68</v>
      </c>
      <c r="D6" s="15" t="n">
        <v>48945</v>
      </c>
      <c r="E6" s="22">
        <f>B6-C6-D6</f>
        <v/>
      </c>
    </row>
    <row r="7">
      <c r="A7" s="21" t="n">
        <v>45597</v>
      </c>
      <c r="B7" s="15" t="n">
        <v>366368</v>
      </c>
      <c r="C7" s="15" t="n">
        <v>277031</v>
      </c>
      <c r="D7" s="15" t="n">
        <v>67409</v>
      </c>
      <c r="E7" s="22">
        <f>B7-C7-D7</f>
        <v/>
      </c>
    </row>
    <row r="8">
      <c r="A8" s="21" t="n">
        <v>45627</v>
      </c>
      <c r="B8" s="15" t="n">
        <v>438406</v>
      </c>
      <c r="C8" s="15" t="n">
        <v>300098.406</v>
      </c>
      <c r="D8" s="15" t="n">
        <v>80345</v>
      </c>
      <c r="E8" s="22">
        <f>B8-C8-D8</f>
        <v/>
      </c>
    </row>
    <row r="9">
      <c r="A9" s="21" t="n">
        <v>45658</v>
      </c>
      <c r="B9" s="15" t="n">
        <v>338032</v>
      </c>
      <c r="C9" s="15" t="n">
        <v>235385</v>
      </c>
      <c r="D9" s="15" t="n">
        <v>83778</v>
      </c>
      <c r="E9" s="22">
        <f>B9-C9-D9</f>
        <v/>
      </c>
    </row>
    <row r="10">
      <c r="A10" s="21" t="n">
        <v>45689</v>
      </c>
      <c r="B10" s="15" t="n">
        <v>474913</v>
      </c>
      <c r="C10" s="15" t="n">
        <v>375314</v>
      </c>
      <c r="D10" s="15" t="n">
        <v>59348</v>
      </c>
      <c r="E10" s="22">
        <f>B10-C10-D10</f>
        <v/>
      </c>
    </row>
    <row r="11">
      <c r="A11" s="21" t="n">
        <v>45717</v>
      </c>
      <c r="B11" s="15" t="n">
        <v>517184</v>
      </c>
      <c r="C11" s="15" t="n">
        <v>329610</v>
      </c>
      <c r="D11" s="15" t="n">
        <v>97321</v>
      </c>
      <c r="E11" s="22">
        <f>B11-C11-D11</f>
        <v/>
      </c>
    </row>
    <row r="12">
      <c r="A12" s="21" t="n">
        <v>45748</v>
      </c>
      <c r="B12" s="15" t="n">
        <v>417827</v>
      </c>
      <c r="C12" s="15" t="n">
        <v>285512.3016</v>
      </c>
      <c r="D12" s="15" t="n">
        <v>105578</v>
      </c>
      <c r="E12" s="22">
        <f>B12-C12-D12</f>
        <v/>
      </c>
    </row>
    <row r="13">
      <c r="A13" s="21" t="n">
        <v>45778</v>
      </c>
      <c r="B13" s="15" t="n">
        <v>416945</v>
      </c>
      <c r="C13" s="15" t="n">
        <v>309584</v>
      </c>
      <c r="D13" s="15" t="n">
        <v>98761</v>
      </c>
      <c r="E13" s="22">
        <f>B13-C13-D13</f>
        <v/>
      </c>
    </row>
    <row r="14">
      <c r="A14" s="21" t="n">
        <v>45809</v>
      </c>
      <c r="B14" s="15" t="n">
        <v>506844</v>
      </c>
      <c r="C14" s="15" t="n">
        <v>436211</v>
      </c>
      <c r="D14" s="15" t="n">
        <v>99756</v>
      </c>
      <c r="E14" s="22">
        <f>B14-C14-D14</f>
        <v/>
      </c>
    </row>
    <row r="15">
      <c r="A15" s="21" t="n">
        <v>45839</v>
      </c>
      <c r="B15" s="15" t="n">
        <v>535865</v>
      </c>
      <c r="C15" s="15" t="n">
        <v>311935</v>
      </c>
      <c r="D15" s="15" t="n">
        <v>100227.2</v>
      </c>
      <c r="E15" s="22">
        <f>B15-C15-D15</f>
        <v/>
      </c>
    </row>
    <row r="16">
      <c r="A16" s="21" t="n">
        <v>45870</v>
      </c>
      <c r="B16" s="15" t="n">
        <v>545055.5</v>
      </c>
      <c r="C16" s="15" t="n">
        <v>413359.5</v>
      </c>
      <c r="D16" s="15" t="n">
        <v>124109.17</v>
      </c>
      <c r="E16" s="22">
        <f>B16-C16-D16</f>
        <v/>
      </c>
    </row>
    <row r="17">
      <c r="A17" s="21" t="n">
        <v>45901</v>
      </c>
      <c r="B17" s="15" t="n">
        <v>604836.5</v>
      </c>
      <c r="C17" s="15" t="n">
        <v>386986</v>
      </c>
      <c r="D17" s="15" t="n">
        <v>147126</v>
      </c>
      <c r="E17" s="22">
        <f>B17-C17-D17</f>
        <v/>
      </c>
    </row>
    <row r="18">
      <c r="A18" s="21" t="n">
        <v>45931</v>
      </c>
      <c r="B18" s="15" t="n">
        <v>627582.7</v>
      </c>
      <c r="C18" s="15" t="n">
        <v>434598</v>
      </c>
      <c r="D18" s="15" t="n">
        <v>126546.7</v>
      </c>
      <c r="E18" s="22">
        <f>B18-C18-D18</f>
        <v/>
      </c>
    </row>
    <row r="19">
      <c r="A19" s="21" t="n">
        <v>45962</v>
      </c>
      <c r="B19" s="15" t="n">
        <v>588959</v>
      </c>
      <c r="C19" s="15" t="n">
        <v>423963</v>
      </c>
      <c r="D19" s="15" t="n">
        <v>146745</v>
      </c>
      <c r="E19" s="22">
        <f>B19-C19-D19</f>
        <v/>
      </c>
    </row>
    <row r="20">
      <c r="A20" s="21" t="n">
        <v>45992</v>
      </c>
      <c r="B20" s="15" t="n">
        <v>639302.16</v>
      </c>
      <c r="C20" s="15" t="n">
        <v>449712</v>
      </c>
      <c r="D20" s="15" t="n">
        <v>141455</v>
      </c>
      <c r="E20" s="22">
        <f>B20-C20-D20</f>
        <v/>
      </c>
    </row>
    <row r="21">
      <c r="A21" s="21" t="n">
        <v>46023</v>
      </c>
      <c r="B21" s="15" t="n">
        <v>509372</v>
      </c>
      <c r="C21" s="15" t="n">
        <v>389262</v>
      </c>
      <c r="D21" s="15" t="n">
        <v>146954</v>
      </c>
      <c r="E21" s="22">
        <f>B21-C21-D21</f>
        <v/>
      </c>
    </row>
    <row r="22">
      <c r="A22" s="21" t="n">
        <v>46054</v>
      </c>
      <c r="B22" s="15" t="n">
        <v>772744.73</v>
      </c>
      <c r="C22" s="15" t="n">
        <v>452311</v>
      </c>
      <c r="D22" s="15" t="n">
        <v>152402</v>
      </c>
      <c r="E22" s="22">
        <f>B22-C22-D22</f>
        <v/>
      </c>
    </row>
    <row r="23">
      <c r="A23" s="21" t="n">
        <v>46082</v>
      </c>
      <c r="B23" s="15" t="n">
        <v>1000517</v>
      </c>
      <c r="C23" s="15" t="n">
        <v>697149.3478</v>
      </c>
      <c r="D23" s="15" t="n">
        <v>179470</v>
      </c>
      <c r="E23" s="22">
        <f>B23-C23-D23</f>
        <v/>
      </c>
    </row>
    <row r="24">
      <c r="A24" s="21" t="n">
        <v>46113</v>
      </c>
      <c r="B24" s="15" t="n">
        <v>743879.2</v>
      </c>
      <c r="C24" s="15" t="n">
        <v>513770</v>
      </c>
      <c r="D24" s="15" t="n">
        <v>176659</v>
      </c>
      <c r="E24" s="22">
        <f>B24-C24-D24</f>
        <v/>
      </c>
    </row>
    <row r="25">
      <c r="A25" s="21" t="n">
        <v>46143</v>
      </c>
      <c r="B25" s="15" t="n">
        <v>643285.2</v>
      </c>
      <c r="C25" s="15" t="n">
        <v>350768</v>
      </c>
      <c r="D25" s="15" t="n">
        <v>152317.5</v>
      </c>
      <c r="E25" s="22">
        <f>B25-C25-D25</f>
        <v/>
      </c>
    </row>
    <row r="26">
      <c r="A26" s="21" t="n">
        <v>46174</v>
      </c>
      <c r="B26" s="15" t="n">
        <v>589240.1</v>
      </c>
      <c r="C26" s="15" t="n">
        <v>365475</v>
      </c>
      <c r="D26" s="15" t="n">
        <v>136732</v>
      </c>
      <c r="E26" s="22">
        <f>B26-C26-D26</f>
        <v/>
      </c>
    </row>
    <row r="27">
      <c r="A27" s="21" t="n">
        <v>46204</v>
      </c>
      <c r="B27" s="15" t="n">
        <v>700054</v>
      </c>
      <c r="C27" s="15" t="n">
        <v>368711.1818</v>
      </c>
      <c r="D27" s="15" t="n">
        <v>167399</v>
      </c>
      <c r="E27" s="22">
        <f>B27-C27-D27</f>
        <v/>
      </c>
    </row>
    <row r="28">
      <c r="A28" s="21" t="n">
        <v>46235</v>
      </c>
      <c r="B28" s="15" t="n">
        <v>610035</v>
      </c>
      <c r="C28" s="15" t="n">
        <v>430869.7778</v>
      </c>
      <c r="D28" s="15" t="n">
        <v>155328.5</v>
      </c>
      <c r="E28" s="22">
        <f>B28-C28-D28</f>
        <v/>
      </c>
    </row>
    <row r="29">
      <c r="A29" s="21" t="n">
        <v>46266</v>
      </c>
      <c r="B29" s="15" t="n">
        <v>683641</v>
      </c>
      <c r="C29" s="15" t="n">
        <v>423224</v>
      </c>
      <c r="D29" s="15" t="n">
        <v>164778</v>
      </c>
      <c r="E29" s="22">
        <f>B29-C29-D29</f>
        <v/>
      </c>
    </row>
    <row r="30">
      <c r="A30" s="4" t="inlineStr">
        <is>
          <t>Total</t>
        </is>
      </c>
      <c r="B30" s="8">
        <f>SUM(B5:B29)</f>
        <v/>
      </c>
      <c r="C30" s="8">
        <f>SUM(C5:C29)</f>
        <v/>
      </c>
      <c r="D30" s="8">
        <f>SUM(D5:D29)</f>
        <v/>
      </c>
      <c r="E30" s="8">
        <f>SUM(E5:E29)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2026-10-06T14:00:45Z</dcterms:created>
  <dcterms:modified xmlns:dcterms="http://purl.org/dc/terms/" xmlns:xsi="http://www.w3.org/2001/XMLSchema-instance" xsi:type="dcterms:W3CDTF">2026-10-06T14:00:48Z</dcterms:modified>
</cp:coreProperties>
</file>